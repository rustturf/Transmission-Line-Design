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esktop\"/>
    </mc:Choice>
  </mc:AlternateContent>
  <xr:revisionPtr revIDLastSave="0" documentId="13_ncr:1_{ACDE72D4-6C06-4AB5-87E8-690ABF84D827}" xr6:coauthVersionLast="47" xr6:coauthVersionMax="47" xr10:uidLastSave="{00000000-0000-0000-0000-000000000000}"/>
  <bookViews>
    <workbookView xWindow="-120" yWindow="-120" windowWidth="29040" windowHeight="16440" xr2:uid="{3A0B37CF-E210-4699-8427-AB8A32FC7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sharedStrings.xml><?xml version="1.0" encoding="utf-8"?>
<sst xmlns="http://schemas.openxmlformats.org/spreadsheetml/2006/main" count="49" uniqueCount="49">
  <si>
    <t>ACSR</t>
  </si>
  <si>
    <t>Overall Diameter</t>
  </si>
  <si>
    <t>Overall Area</t>
  </si>
  <si>
    <t>Resistance at 20 degree</t>
  </si>
  <si>
    <t>Current Rating Ampacity</t>
  </si>
  <si>
    <t>MOLE</t>
  </si>
  <si>
    <t>SQUIRREL</t>
  </si>
  <si>
    <t>GOPHER</t>
  </si>
  <si>
    <t>WEASEL</t>
  </si>
  <si>
    <t>FOX</t>
  </si>
  <si>
    <t>FERRET</t>
  </si>
  <si>
    <t>RABBIT</t>
  </si>
  <si>
    <t>MINK</t>
  </si>
  <si>
    <t>SKUNK</t>
  </si>
  <si>
    <t>BEAVER</t>
  </si>
  <si>
    <t>HORSE</t>
  </si>
  <si>
    <t>RACCOON</t>
  </si>
  <si>
    <t>OTTER</t>
  </si>
  <si>
    <t>CAT</t>
  </si>
  <si>
    <t>HARE</t>
  </si>
  <si>
    <t>DOG</t>
  </si>
  <si>
    <t>HYENA</t>
  </si>
  <si>
    <t>LEOPARD</t>
  </si>
  <si>
    <t>COYOTE</t>
  </si>
  <si>
    <t>TIGER</t>
  </si>
  <si>
    <t>WOLF</t>
  </si>
  <si>
    <t>LYNX</t>
  </si>
  <si>
    <t>PANTHER</t>
  </si>
  <si>
    <t>LION</t>
  </si>
  <si>
    <t>BEAR</t>
  </si>
  <si>
    <t>GOAT</t>
  </si>
  <si>
    <t>SHEEP</t>
  </si>
  <si>
    <t>ANTELOPE</t>
  </si>
  <si>
    <t>BISON</t>
  </si>
  <si>
    <t>DEER</t>
  </si>
  <si>
    <t>ZEBRA</t>
  </si>
  <si>
    <t>ELK</t>
  </si>
  <si>
    <t>CAMEL</t>
  </si>
  <si>
    <t>MOOSE</t>
  </si>
  <si>
    <t>Weight</t>
  </si>
  <si>
    <t>UTS</t>
  </si>
  <si>
    <t>L</t>
  </si>
  <si>
    <t>Lactual</t>
  </si>
  <si>
    <t>YME</t>
  </si>
  <si>
    <t>Mass Aluminium</t>
  </si>
  <si>
    <t>Steel</t>
  </si>
  <si>
    <t>M alu</t>
  </si>
  <si>
    <t>M steel</t>
  </si>
  <si>
    <t>R65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</si>
</sst>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1772DB1-EA2B-426F-9FBE-78E8CADC71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F0E7DA-DC68-46E6-95A4-4D86C8E5576B}">
  <we:reference id="a3b40b4f-8edf-490e-9df1-7e66f93912bf" version="1.2.0.0" store="EXCatalog" storeType="EXCatalog"/>
  <we:alternateReferences>
    <we:reference id="WA104380526" version="1.2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3A04-A714-487D-BA68-A365CA584CC8}">
  <dimension ref="A1:T62"/>
  <sheetViews>
    <sheetView tabSelected="1" zoomScale="55" zoomScaleNormal="55" workbookViewId="0">
      <selection activeCell="A38" sqref="A38:D48"/>
    </sheetView>
  </sheetViews>
  <sheetFormatPr defaultRowHeight="14.25" x14ac:dyDescent="0.2"/>
  <cols>
    <col min="2" max="2" width="25.75" customWidth="1"/>
    <col min="3" max="3" width="13" bestFit="1" customWidth="1"/>
    <col min="4" max="4" width="14.75" customWidth="1"/>
    <col min="5" max="5" width="12.375" customWidth="1"/>
    <col min="6" max="6" width="10.625" bestFit="1" customWidth="1"/>
    <col min="7" max="7" width="14.75" bestFit="1" customWidth="1"/>
    <col min="8" max="8" width="15.875" customWidth="1"/>
    <col min="9" max="9" width="11.375" customWidth="1"/>
    <col min="10" max="10" width="21" bestFit="1" customWidth="1"/>
    <col min="11" max="11" width="10.75" customWidth="1"/>
    <col min="12" max="13" width="10.375" bestFit="1" customWidth="1"/>
    <col min="14" max="14" width="12.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46</v>
      </c>
      <c r="L1" t="s">
        <v>47</v>
      </c>
      <c r="M1" t="s">
        <v>44</v>
      </c>
      <c r="N1" t="s">
        <v>45</v>
      </c>
      <c r="O1" t="s">
        <v>48</v>
      </c>
    </row>
    <row r="2" spans="1:15" x14ac:dyDescent="0.2">
      <c r="A2" t="s">
        <v>5</v>
      </c>
      <c r="B2">
        <v>4.5</v>
      </c>
      <c r="C2">
        <v>12.37</v>
      </c>
      <c r="D2">
        <v>2.7061999999999999</v>
      </c>
      <c r="E2">
        <v>87</v>
      </c>
      <c r="F2">
        <v>43.1</v>
      </c>
      <c r="G2">
        <v>478</v>
      </c>
      <c r="H2">
        <v>19.309999999999999</v>
      </c>
      <c r="I2">
        <f>H2*10^(-6)</f>
        <v>1.9309999999999996E-5</v>
      </c>
      <c r="J2">
        <v>80400</v>
      </c>
      <c r="K2">
        <f>M2/1000</f>
        <v>2.92E-2</v>
      </c>
      <c r="L2">
        <f>N2/1000</f>
        <v>1.3900000000000001E-2</v>
      </c>
      <c r="M2" s="1">
        <v>29.2</v>
      </c>
      <c r="N2" s="3">
        <v>13.9</v>
      </c>
      <c r="O2">
        <f t="shared" ref="O2:O14" si="0">D2*(1+(0.004*(65-20)))*$B$38</f>
        <v>0</v>
      </c>
    </row>
    <row r="3" spans="1:15" x14ac:dyDescent="0.2">
      <c r="A3" t="s">
        <v>6</v>
      </c>
      <c r="B3">
        <v>6.33</v>
      </c>
      <c r="C3">
        <v>24.48</v>
      </c>
      <c r="D3">
        <v>1.3676999999999999</v>
      </c>
      <c r="E3">
        <v>130</v>
      </c>
      <c r="F3">
        <v>85.2</v>
      </c>
      <c r="G3">
        <v>8020</v>
      </c>
      <c r="H3">
        <v>19.309999999999999</v>
      </c>
      <c r="I3">
        <f t="shared" ref="I3:I35" si="1">H3*10^(-6)</f>
        <v>1.9309999999999996E-5</v>
      </c>
      <c r="J3">
        <v>80400</v>
      </c>
      <c r="K3">
        <f t="shared" ref="K3:K35" si="2">M3/1000</f>
        <v>5.7700000000000001E-2</v>
      </c>
      <c r="L3">
        <f t="shared" ref="L3:L35" si="3">N3/1000</f>
        <v>2.75E-2</v>
      </c>
      <c r="M3" s="1">
        <v>57.7</v>
      </c>
      <c r="N3" s="3">
        <v>27.5</v>
      </c>
      <c r="O3">
        <f t="shared" si="0"/>
        <v>0</v>
      </c>
    </row>
    <row r="4" spans="1:15" x14ac:dyDescent="0.2">
      <c r="A4" t="s">
        <v>7</v>
      </c>
      <c r="B4">
        <v>7.08</v>
      </c>
      <c r="C4">
        <v>30.62</v>
      </c>
      <c r="D4">
        <v>1.0932999999999999</v>
      </c>
      <c r="E4">
        <v>150</v>
      </c>
      <c r="F4">
        <v>107</v>
      </c>
      <c r="G4">
        <v>9610</v>
      </c>
      <c r="H4">
        <v>19.309999999999999</v>
      </c>
      <c r="I4">
        <f t="shared" si="1"/>
        <v>1.9309999999999996E-5</v>
      </c>
      <c r="J4">
        <v>80400</v>
      </c>
      <c r="K4">
        <f t="shared" si="2"/>
        <v>7.22E-2</v>
      </c>
      <c r="L4">
        <f t="shared" si="3"/>
        <v>3.44E-2</v>
      </c>
      <c r="M4" s="1">
        <v>72.2</v>
      </c>
      <c r="N4" s="3">
        <v>34.4</v>
      </c>
      <c r="O4">
        <f t="shared" si="0"/>
        <v>0</v>
      </c>
    </row>
    <row r="5" spans="1:15" x14ac:dyDescent="0.2">
      <c r="A5" t="s">
        <v>8</v>
      </c>
      <c r="B5">
        <v>7.77</v>
      </c>
      <c r="C5">
        <v>36.880000000000003</v>
      </c>
      <c r="D5">
        <v>0.90769999999999995</v>
      </c>
      <c r="E5">
        <v>170</v>
      </c>
      <c r="F5">
        <v>129</v>
      </c>
      <c r="G5">
        <v>11450</v>
      </c>
      <c r="H5">
        <v>19.309999999999999</v>
      </c>
      <c r="I5">
        <f t="shared" si="1"/>
        <v>1.9309999999999996E-5</v>
      </c>
      <c r="J5">
        <v>80400</v>
      </c>
      <c r="K5">
        <f t="shared" si="2"/>
        <v>8.6999999999999994E-2</v>
      </c>
      <c r="L5">
        <f t="shared" si="3"/>
        <v>4.1500000000000002E-2</v>
      </c>
      <c r="M5" s="1">
        <v>87</v>
      </c>
      <c r="N5" s="3">
        <v>41.5</v>
      </c>
      <c r="O5">
        <f t="shared" si="0"/>
        <v>0</v>
      </c>
    </row>
    <row r="6" spans="1:15" x14ac:dyDescent="0.2">
      <c r="A6" t="s">
        <v>9</v>
      </c>
      <c r="B6">
        <v>8.3699999999999992</v>
      </c>
      <c r="C6">
        <v>42.8</v>
      </c>
      <c r="D6">
        <v>0.78220000000000001</v>
      </c>
      <c r="E6">
        <v>190</v>
      </c>
      <c r="F6">
        <v>149</v>
      </c>
      <c r="G6">
        <v>13100</v>
      </c>
      <c r="H6">
        <v>19.309999999999999</v>
      </c>
      <c r="I6">
        <f t="shared" si="1"/>
        <v>1.9309999999999996E-5</v>
      </c>
      <c r="J6">
        <v>80400</v>
      </c>
      <c r="K6">
        <f t="shared" si="2"/>
        <v>0.10100000000000001</v>
      </c>
      <c r="L6">
        <f t="shared" si="3"/>
        <v>4.8100000000000004E-2</v>
      </c>
      <c r="M6" s="1">
        <v>101</v>
      </c>
      <c r="N6" s="3">
        <v>48.1</v>
      </c>
      <c r="O6">
        <f t="shared" si="0"/>
        <v>0</v>
      </c>
    </row>
    <row r="7" spans="1:15" x14ac:dyDescent="0.2">
      <c r="A7" t="s">
        <v>10</v>
      </c>
      <c r="B7">
        <v>9</v>
      </c>
      <c r="C7">
        <v>49.48</v>
      </c>
      <c r="D7">
        <v>0.67659999999999998</v>
      </c>
      <c r="E7">
        <v>210</v>
      </c>
      <c r="F7">
        <v>173</v>
      </c>
      <c r="G7">
        <v>15200</v>
      </c>
      <c r="H7">
        <v>19.309999999999999</v>
      </c>
      <c r="I7">
        <f t="shared" si="1"/>
        <v>1.9309999999999996E-5</v>
      </c>
      <c r="J7">
        <v>80400</v>
      </c>
      <c r="K7">
        <f t="shared" si="2"/>
        <v>0.11700000000000001</v>
      </c>
      <c r="L7">
        <f t="shared" si="3"/>
        <v>5.5600000000000004E-2</v>
      </c>
      <c r="M7" s="1">
        <v>117</v>
      </c>
      <c r="N7" s="3">
        <v>55.6</v>
      </c>
      <c r="O7">
        <f t="shared" si="0"/>
        <v>0</v>
      </c>
    </row>
    <row r="8" spans="1:15" x14ac:dyDescent="0.2">
      <c r="A8" t="s">
        <v>11</v>
      </c>
      <c r="B8">
        <v>10.050000000000001</v>
      </c>
      <c r="C8">
        <v>61.7</v>
      </c>
      <c r="D8">
        <v>0.54259999999999997</v>
      </c>
      <c r="E8">
        <v>240</v>
      </c>
      <c r="F8">
        <v>214</v>
      </c>
      <c r="G8">
        <v>18500</v>
      </c>
      <c r="H8">
        <v>19.309999999999999</v>
      </c>
      <c r="I8">
        <f t="shared" si="1"/>
        <v>1.9309999999999996E-5</v>
      </c>
      <c r="J8">
        <v>80400</v>
      </c>
      <c r="K8">
        <f t="shared" si="2"/>
        <v>0.14499999999999999</v>
      </c>
      <c r="L8">
        <f t="shared" si="3"/>
        <v>6.9400000000000003E-2</v>
      </c>
      <c r="M8" s="1">
        <v>145</v>
      </c>
      <c r="N8" s="3">
        <v>69.400000000000006</v>
      </c>
      <c r="O8">
        <f t="shared" si="0"/>
        <v>0</v>
      </c>
    </row>
    <row r="9" spans="1:15" x14ac:dyDescent="0.2">
      <c r="A9" t="s">
        <v>12</v>
      </c>
      <c r="B9">
        <v>10.98</v>
      </c>
      <c r="C9">
        <v>73.650000000000006</v>
      </c>
      <c r="D9">
        <v>0.4546</v>
      </c>
      <c r="E9">
        <v>260</v>
      </c>
      <c r="F9">
        <v>257</v>
      </c>
      <c r="G9">
        <v>21900</v>
      </c>
      <c r="H9">
        <v>19.309999999999999</v>
      </c>
      <c r="I9">
        <f t="shared" si="1"/>
        <v>1.9309999999999996E-5</v>
      </c>
      <c r="J9">
        <v>80400</v>
      </c>
      <c r="K9">
        <f t="shared" si="2"/>
        <v>0.17399999999999999</v>
      </c>
      <c r="L9">
        <f t="shared" si="3"/>
        <v>8.2799999999999999E-2</v>
      </c>
      <c r="M9" s="1">
        <v>174</v>
      </c>
      <c r="N9" s="3">
        <v>82.8</v>
      </c>
      <c r="O9">
        <f t="shared" si="0"/>
        <v>0</v>
      </c>
    </row>
    <row r="10" spans="1:15" x14ac:dyDescent="0.2">
      <c r="A10" t="s">
        <v>13</v>
      </c>
      <c r="B10">
        <v>12.95</v>
      </c>
      <c r="C10">
        <v>100.1</v>
      </c>
      <c r="D10">
        <v>0.45710000000000001</v>
      </c>
      <c r="E10">
        <v>270</v>
      </c>
      <c r="F10">
        <v>467</v>
      </c>
      <c r="G10">
        <v>52900</v>
      </c>
      <c r="H10">
        <v>15.84</v>
      </c>
      <c r="I10">
        <f t="shared" si="1"/>
        <v>1.5840000000000001E-5</v>
      </c>
      <c r="J10">
        <v>108000</v>
      </c>
      <c r="K10">
        <f t="shared" si="2"/>
        <v>0.17499999999999999</v>
      </c>
      <c r="L10">
        <f t="shared" si="3"/>
        <v>0.29199999999999998</v>
      </c>
      <c r="M10" s="1">
        <v>175</v>
      </c>
      <c r="N10" s="3">
        <v>292</v>
      </c>
      <c r="O10">
        <f t="shared" si="0"/>
        <v>0</v>
      </c>
    </row>
    <row r="11" spans="1:15" x14ac:dyDescent="0.2">
      <c r="A11" t="s">
        <v>14</v>
      </c>
      <c r="B11">
        <v>11.97</v>
      </c>
      <c r="C11">
        <v>87.53</v>
      </c>
      <c r="D11">
        <v>0.38250000000000001</v>
      </c>
      <c r="E11">
        <v>290</v>
      </c>
      <c r="F11">
        <v>304</v>
      </c>
      <c r="G11">
        <v>25900</v>
      </c>
      <c r="H11">
        <v>19.309999999999999</v>
      </c>
      <c r="I11">
        <f t="shared" si="1"/>
        <v>1.9309999999999996E-5</v>
      </c>
      <c r="J11">
        <v>80400</v>
      </c>
      <c r="K11">
        <f t="shared" si="2"/>
        <v>0.20599999999999999</v>
      </c>
      <c r="L11">
        <f t="shared" si="3"/>
        <v>9.8400000000000001E-2</v>
      </c>
      <c r="M11" s="1">
        <v>206</v>
      </c>
      <c r="N11" s="3">
        <v>98.4</v>
      </c>
      <c r="O11">
        <f t="shared" si="0"/>
        <v>0</v>
      </c>
    </row>
    <row r="12" spans="1:15" x14ac:dyDescent="0.2">
      <c r="A12" t="s">
        <v>15</v>
      </c>
      <c r="B12">
        <v>13.95</v>
      </c>
      <c r="C12">
        <v>116.16</v>
      </c>
      <c r="D12">
        <v>0.39389999999999997</v>
      </c>
      <c r="E12">
        <v>300</v>
      </c>
      <c r="F12">
        <v>541</v>
      </c>
      <c r="G12">
        <v>60700</v>
      </c>
      <c r="H12">
        <v>15.84</v>
      </c>
      <c r="I12">
        <f t="shared" si="1"/>
        <v>1.5840000000000001E-5</v>
      </c>
      <c r="J12">
        <v>108000</v>
      </c>
      <c r="K12">
        <f t="shared" si="2"/>
        <v>0.20300000000000001</v>
      </c>
      <c r="L12">
        <f t="shared" si="3"/>
        <v>0.33800000000000002</v>
      </c>
      <c r="M12" s="1">
        <v>203</v>
      </c>
      <c r="N12" s="3">
        <v>338</v>
      </c>
      <c r="O12">
        <f t="shared" si="0"/>
        <v>0</v>
      </c>
    </row>
    <row r="13" spans="1:15" x14ac:dyDescent="0.2">
      <c r="A13" t="s">
        <v>16</v>
      </c>
      <c r="B13">
        <v>12.27</v>
      </c>
      <c r="C13">
        <v>91.97</v>
      </c>
      <c r="D13">
        <v>0.36399999999999999</v>
      </c>
      <c r="E13">
        <v>300</v>
      </c>
      <c r="F13">
        <v>320</v>
      </c>
      <c r="G13">
        <v>27200</v>
      </c>
      <c r="H13">
        <v>19.309999999999999</v>
      </c>
      <c r="I13">
        <f t="shared" si="1"/>
        <v>1.9309999999999996E-5</v>
      </c>
      <c r="J13">
        <v>80400</v>
      </c>
      <c r="K13">
        <f t="shared" si="2"/>
        <v>0.217</v>
      </c>
      <c r="L13">
        <f t="shared" si="3"/>
        <v>0.10299999999999999</v>
      </c>
      <c r="M13" s="1">
        <v>217</v>
      </c>
      <c r="N13" s="3">
        <v>103</v>
      </c>
      <c r="O13">
        <f t="shared" si="0"/>
        <v>0</v>
      </c>
    </row>
    <row r="14" spans="1:15" x14ac:dyDescent="0.2">
      <c r="A14" t="s">
        <v>17</v>
      </c>
      <c r="B14">
        <v>12.66</v>
      </c>
      <c r="C14">
        <v>97.91</v>
      </c>
      <c r="D14">
        <v>0.34189999999999998</v>
      </c>
      <c r="E14">
        <v>310</v>
      </c>
      <c r="F14">
        <v>341</v>
      </c>
      <c r="G14">
        <v>28900</v>
      </c>
      <c r="H14">
        <v>19.309999999999999</v>
      </c>
      <c r="I14">
        <f t="shared" si="1"/>
        <v>1.9309999999999996E-5</v>
      </c>
      <c r="J14">
        <v>80400</v>
      </c>
      <c r="K14">
        <f t="shared" si="2"/>
        <v>0.23100000000000001</v>
      </c>
      <c r="L14">
        <f t="shared" si="3"/>
        <v>0.11</v>
      </c>
      <c r="M14" s="1">
        <v>231</v>
      </c>
      <c r="N14" s="3">
        <v>110</v>
      </c>
      <c r="O14">
        <f t="shared" si="0"/>
        <v>0</v>
      </c>
    </row>
    <row r="15" spans="1:15" x14ac:dyDescent="0.2">
      <c r="A15" t="s">
        <v>18</v>
      </c>
      <c r="B15">
        <v>13.5</v>
      </c>
      <c r="C15">
        <v>111.33</v>
      </c>
      <c r="D15">
        <v>0.30070000000000002</v>
      </c>
      <c r="E15">
        <v>340</v>
      </c>
      <c r="F15">
        <v>388</v>
      </c>
      <c r="G15">
        <v>32800</v>
      </c>
      <c r="H15">
        <v>19.309999999999999</v>
      </c>
      <c r="I15">
        <f t="shared" si="1"/>
        <v>1.9309999999999996E-5</v>
      </c>
      <c r="J15">
        <v>80400</v>
      </c>
      <c r="K15">
        <f t="shared" si="2"/>
        <v>0.26300000000000001</v>
      </c>
      <c r="L15">
        <f t="shared" si="3"/>
        <v>0.125</v>
      </c>
      <c r="M15" s="1">
        <v>263</v>
      </c>
      <c r="N15" s="3">
        <v>125</v>
      </c>
      <c r="O15">
        <f>D15*(1+(0.004*(65-20)))*$B$38</f>
        <v>0</v>
      </c>
    </row>
    <row r="16" spans="1:15" x14ac:dyDescent="0.2">
      <c r="A16" t="s">
        <v>19</v>
      </c>
      <c r="B16">
        <v>14.16</v>
      </c>
      <c r="C16">
        <v>122.48</v>
      </c>
      <c r="D16">
        <v>0.27329999999999999</v>
      </c>
      <c r="E16">
        <v>360</v>
      </c>
      <c r="F16">
        <v>427</v>
      </c>
      <c r="G16">
        <v>36000</v>
      </c>
      <c r="H16">
        <v>19.309999999999999</v>
      </c>
      <c r="I16">
        <f t="shared" si="1"/>
        <v>1.9309999999999996E-5</v>
      </c>
      <c r="J16">
        <v>80400</v>
      </c>
      <c r="K16">
        <f t="shared" si="2"/>
        <v>0.28899999999999998</v>
      </c>
      <c r="L16">
        <f t="shared" si="3"/>
        <v>0.13800000000000001</v>
      </c>
      <c r="M16" s="1">
        <v>289</v>
      </c>
      <c r="N16" s="3">
        <v>138</v>
      </c>
      <c r="O16">
        <f t="shared" ref="O16:O35" si="4">D16*(1+(0.004*(65-20)))*$B$38</f>
        <v>0</v>
      </c>
    </row>
    <row r="17" spans="1:15" x14ac:dyDescent="0.2">
      <c r="A17" t="s">
        <v>20</v>
      </c>
      <c r="B17">
        <v>14.15</v>
      </c>
      <c r="C17">
        <v>117.69</v>
      </c>
      <c r="D17">
        <v>0.27329999999999999</v>
      </c>
      <c r="E17">
        <v>360</v>
      </c>
      <c r="F17">
        <v>389</v>
      </c>
      <c r="G17">
        <v>34700</v>
      </c>
      <c r="H17">
        <v>19.920000000000002</v>
      </c>
      <c r="I17">
        <f t="shared" si="1"/>
        <v>1.9920000000000002E-5</v>
      </c>
      <c r="J17">
        <v>76400</v>
      </c>
      <c r="K17">
        <f t="shared" si="2"/>
        <v>0.28899999999999998</v>
      </c>
      <c r="L17">
        <f t="shared" si="3"/>
        <v>0.1</v>
      </c>
      <c r="M17" s="1">
        <v>289</v>
      </c>
      <c r="N17" s="3">
        <v>100</v>
      </c>
      <c r="O17">
        <f t="shared" si="4"/>
        <v>0</v>
      </c>
    </row>
    <row r="18" spans="1:15" x14ac:dyDescent="0.2">
      <c r="A18" t="s">
        <v>21</v>
      </c>
      <c r="B18">
        <v>14.57</v>
      </c>
      <c r="C18">
        <v>126.43</v>
      </c>
      <c r="D18">
        <v>0.2697</v>
      </c>
      <c r="E18">
        <v>360</v>
      </c>
      <c r="F18">
        <v>453</v>
      </c>
      <c r="G18">
        <v>41900</v>
      </c>
      <c r="H18">
        <v>18.93</v>
      </c>
      <c r="I18">
        <f t="shared" si="1"/>
        <v>1.893E-5</v>
      </c>
      <c r="J18">
        <v>82200</v>
      </c>
      <c r="K18">
        <f t="shared" si="2"/>
        <v>0.29099999999999998</v>
      </c>
      <c r="L18">
        <f t="shared" si="3"/>
        <v>0.16200000000000001</v>
      </c>
      <c r="M18" s="1">
        <v>291</v>
      </c>
      <c r="N18" s="3">
        <v>162</v>
      </c>
      <c r="O18">
        <f t="shared" si="4"/>
        <v>0</v>
      </c>
    </row>
    <row r="19" spans="1:15" x14ac:dyDescent="0.2">
      <c r="A19" t="s">
        <v>22</v>
      </c>
      <c r="B19">
        <v>15.81</v>
      </c>
      <c r="C19">
        <v>148.21</v>
      </c>
      <c r="D19">
        <v>0.21840000000000001</v>
      </c>
      <c r="E19">
        <v>410</v>
      </c>
      <c r="F19">
        <v>494</v>
      </c>
      <c r="G19">
        <v>42200</v>
      </c>
      <c r="H19">
        <v>19.54</v>
      </c>
      <c r="I19">
        <f t="shared" si="1"/>
        <v>1.9539999999999999E-5</v>
      </c>
      <c r="J19">
        <v>76300</v>
      </c>
      <c r="K19">
        <f t="shared" si="2"/>
        <v>0.36099999999999999</v>
      </c>
      <c r="L19">
        <f t="shared" si="3"/>
        <v>0.13300000000000001</v>
      </c>
      <c r="M19" s="1">
        <v>361</v>
      </c>
      <c r="N19" s="3">
        <v>133</v>
      </c>
      <c r="O19">
        <f t="shared" si="4"/>
        <v>0</v>
      </c>
    </row>
    <row r="20" spans="1:15" x14ac:dyDescent="0.2">
      <c r="A20" t="s">
        <v>23</v>
      </c>
      <c r="B20">
        <v>15.89</v>
      </c>
      <c r="C20">
        <v>151.80000000000001</v>
      </c>
      <c r="D20">
        <v>0.30349999999999999</v>
      </c>
      <c r="E20">
        <v>420</v>
      </c>
      <c r="F20">
        <v>524</v>
      </c>
      <c r="G20">
        <v>47300</v>
      </c>
      <c r="H20">
        <v>19.54</v>
      </c>
      <c r="I20">
        <f t="shared" si="1"/>
        <v>1.9539999999999999E-5</v>
      </c>
      <c r="J20">
        <v>76000</v>
      </c>
      <c r="K20">
        <f t="shared" si="2"/>
        <v>0.36499999999999999</v>
      </c>
      <c r="L20">
        <f t="shared" si="3"/>
        <v>0.159</v>
      </c>
      <c r="M20" s="1">
        <v>365</v>
      </c>
      <c r="N20" s="3">
        <v>159</v>
      </c>
      <c r="O20">
        <f t="shared" si="4"/>
        <v>0</v>
      </c>
    </row>
    <row r="21" spans="1:15" x14ac:dyDescent="0.2">
      <c r="A21" t="s">
        <v>24</v>
      </c>
      <c r="B21">
        <v>16.52</v>
      </c>
      <c r="C21">
        <v>161.85</v>
      </c>
      <c r="D21">
        <v>0.22020000000000001</v>
      </c>
      <c r="E21">
        <v>420</v>
      </c>
      <c r="F21">
        <v>606</v>
      </c>
      <c r="G21">
        <v>58700</v>
      </c>
      <c r="H21">
        <v>18.43</v>
      </c>
      <c r="I21">
        <f t="shared" si="1"/>
        <v>1.8429999999999998E-5</v>
      </c>
      <c r="J21">
        <v>83400</v>
      </c>
      <c r="K21">
        <f t="shared" si="2"/>
        <v>0.36399999999999999</v>
      </c>
      <c r="L21">
        <f t="shared" si="3"/>
        <v>0.24199999999999999</v>
      </c>
      <c r="M21" s="1">
        <v>364</v>
      </c>
      <c r="N21" s="3">
        <v>242</v>
      </c>
      <c r="O21">
        <f t="shared" si="4"/>
        <v>0</v>
      </c>
    </row>
    <row r="22" spans="1:15" x14ac:dyDescent="0.2">
      <c r="A22" t="s">
        <v>25</v>
      </c>
      <c r="B22">
        <v>18.13</v>
      </c>
      <c r="C22">
        <v>194.94</v>
      </c>
      <c r="D22">
        <v>0.18279999999999999</v>
      </c>
      <c r="E22">
        <v>470</v>
      </c>
      <c r="F22">
        <v>730</v>
      </c>
      <c r="G22">
        <v>69200</v>
      </c>
      <c r="H22">
        <v>18.43</v>
      </c>
      <c r="I22">
        <f t="shared" si="1"/>
        <v>1.8429999999999998E-5</v>
      </c>
      <c r="J22">
        <v>83400</v>
      </c>
      <c r="K22">
        <f t="shared" si="2"/>
        <v>0.438</v>
      </c>
      <c r="L22">
        <f t="shared" si="3"/>
        <v>0.29199999999999998</v>
      </c>
      <c r="M22" s="1">
        <v>438</v>
      </c>
      <c r="N22" s="3">
        <v>292</v>
      </c>
      <c r="O22">
        <f t="shared" si="4"/>
        <v>0</v>
      </c>
    </row>
    <row r="23" spans="1:15" x14ac:dyDescent="0.2">
      <c r="A23" t="s">
        <v>26</v>
      </c>
      <c r="B23">
        <v>19.53</v>
      </c>
      <c r="C23">
        <v>226.2</v>
      </c>
      <c r="D23">
        <v>0.15759999999999999</v>
      </c>
      <c r="E23">
        <v>520</v>
      </c>
      <c r="F23">
        <v>846</v>
      </c>
      <c r="G23">
        <v>79300</v>
      </c>
      <c r="H23">
        <v>18.43</v>
      </c>
      <c r="I23">
        <f t="shared" si="1"/>
        <v>1.8429999999999998E-5</v>
      </c>
      <c r="J23">
        <v>83400</v>
      </c>
      <c r="K23">
        <f t="shared" si="2"/>
        <v>0.50800000000000001</v>
      </c>
      <c r="L23">
        <f t="shared" si="3"/>
        <v>0.33</v>
      </c>
      <c r="M23" s="1">
        <v>508</v>
      </c>
      <c r="N23" s="3">
        <v>330</v>
      </c>
      <c r="O23">
        <f t="shared" si="4"/>
        <v>0</v>
      </c>
    </row>
    <row r="24" spans="1:15" x14ac:dyDescent="0.2">
      <c r="A24" t="s">
        <v>27</v>
      </c>
      <c r="B24">
        <v>21</v>
      </c>
      <c r="C24">
        <v>261.54000000000002</v>
      </c>
      <c r="D24">
        <v>0.1363</v>
      </c>
      <c r="E24">
        <v>560</v>
      </c>
      <c r="F24">
        <v>970</v>
      </c>
      <c r="G24">
        <v>90800</v>
      </c>
      <c r="H24">
        <v>18.43</v>
      </c>
      <c r="I24">
        <f t="shared" si="1"/>
        <v>1.8429999999999998E-5</v>
      </c>
      <c r="J24">
        <v>83400</v>
      </c>
      <c r="K24">
        <f t="shared" si="2"/>
        <v>0.58799999999999997</v>
      </c>
      <c r="L24">
        <f t="shared" si="3"/>
        <v>0.39100000000000001</v>
      </c>
      <c r="M24" s="1">
        <v>588</v>
      </c>
      <c r="N24" s="3">
        <v>391</v>
      </c>
      <c r="O24">
        <f t="shared" si="4"/>
        <v>0</v>
      </c>
    </row>
    <row r="25" spans="1:15" x14ac:dyDescent="0.2">
      <c r="A25" t="s">
        <v>28</v>
      </c>
      <c r="B25">
        <v>22.26</v>
      </c>
      <c r="C25">
        <v>293.86</v>
      </c>
      <c r="D25">
        <v>0.12130000000000001</v>
      </c>
      <c r="E25">
        <v>610</v>
      </c>
      <c r="F25">
        <v>1100</v>
      </c>
      <c r="G25">
        <v>101000</v>
      </c>
      <c r="H25">
        <v>18.43</v>
      </c>
      <c r="I25">
        <f t="shared" si="1"/>
        <v>1.8429999999999998E-5</v>
      </c>
      <c r="J25">
        <v>83400</v>
      </c>
      <c r="K25">
        <f t="shared" si="2"/>
        <v>0.66</v>
      </c>
      <c r="L25">
        <f t="shared" si="3"/>
        <v>0.44</v>
      </c>
      <c r="M25" s="1">
        <v>660</v>
      </c>
      <c r="N25" s="3">
        <v>440</v>
      </c>
      <c r="O25">
        <f t="shared" si="4"/>
        <v>0</v>
      </c>
    </row>
    <row r="26" spans="1:15" x14ac:dyDescent="0.2">
      <c r="A26" t="s">
        <v>29</v>
      </c>
      <c r="B26">
        <v>23.45</v>
      </c>
      <c r="C26">
        <v>326.12</v>
      </c>
      <c r="D26">
        <v>0.10929999999999999</v>
      </c>
      <c r="E26">
        <v>650</v>
      </c>
      <c r="F26">
        <v>1220</v>
      </c>
      <c r="G26">
        <v>112000</v>
      </c>
      <c r="H26">
        <v>18.43</v>
      </c>
      <c r="I26">
        <f t="shared" si="1"/>
        <v>1.8429999999999998E-5</v>
      </c>
      <c r="J26">
        <v>83400</v>
      </c>
      <c r="K26">
        <f t="shared" si="2"/>
        <v>0.73299999999999998</v>
      </c>
      <c r="L26">
        <f t="shared" si="3"/>
        <v>0.48799999999999999</v>
      </c>
      <c r="M26" s="1">
        <v>733</v>
      </c>
      <c r="N26" s="3">
        <v>488</v>
      </c>
      <c r="O26">
        <f t="shared" si="4"/>
        <v>0</v>
      </c>
    </row>
    <row r="27" spans="1:15" x14ac:dyDescent="0.2">
      <c r="A27" t="s">
        <v>30</v>
      </c>
      <c r="B27">
        <v>25.97</v>
      </c>
      <c r="C27">
        <v>399.98</v>
      </c>
      <c r="D27">
        <v>8.9099999999999999E-2</v>
      </c>
      <c r="E27">
        <v>730</v>
      </c>
      <c r="F27">
        <v>1500</v>
      </c>
      <c r="G27">
        <v>136000</v>
      </c>
      <c r="H27">
        <v>18.43</v>
      </c>
      <c r="I27">
        <f t="shared" si="1"/>
        <v>1.8429999999999998E-5</v>
      </c>
      <c r="J27">
        <v>83400</v>
      </c>
      <c r="K27">
        <f t="shared" si="2"/>
        <v>0.89900000000000002</v>
      </c>
      <c r="L27">
        <f t="shared" si="3"/>
        <v>0.59799999999999998</v>
      </c>
      <c r="M27" s="1">
        <v>899</v>
      </c>
      <c r="N27" s="3">
        <v>598</v>
      </c>
      <c r="O27">
        <f t="shared" si="4"/>
        <v>0</v>
      </c>
    </row>
    <row r="28" spans="1:15" x14ac:dyDescent="0.2">
      <c r="A28" t="s">
        <v>31</v>
      </c>
      <c r="B28">
        <v>27.93</v>
      </c>
      <c r="C28">
        <v>462.63</v>
      </c>
      <c r="D28">
        <v>7.6999999999999999E-2</v>
      </c>
      <c r="E28">
        <v>800</v>
      </c>
      <c r="F28">
        <v>1730</v>
      </c>
      <c r="G28">
        <v>157000</v>
      </c>
      <c r="H28">
        <v>18.43</v>
      </c>
      <c r="I28">
        <f t="shared" si="1"/>
        <v>1.8429999999999998E-5</v>
      </c>
      <c r="J28">
        <v>83400</v>
      </c>
      <c r="K28">
        <f t="shared" si="2"/>
        <v>1.04</v>
      </c>
      <c r="L28">
        <f t="shared" si="3"/>
        <v>0.69199999999999995</v>
      </c>
      <c r="M28" s="1">
        <v>1040</v>
      </c>
      <c r="N28" s="3">
        <v>692</v>
      </c>
      <c r="O28">
        <f t="shared" si="4"/>
        <v>0</v>
      </c>
    </row>
    <row r="29" spans="1:15" x14ac:dyDescent="0.2">
      <c r="A29" t="s">
        <v>32</v>
      </c>
      <c r="B29">
        <v>26.73</v>
      </c>
      <c r="C29">
        <v>422.6</v>
      </c>
      <c r="D29">
        <v>7.7299999999999994E-2</v>
      </c>
      <c r="E29">
        <v>790</v>
      </c>
      <c r="F29">
        <v>1420</v>
      </c>
      <c r="G29">
        <v>117000</v>
      </c>
      <c r="H29">
        <v>19.91</v>
      </c>
      <c r="I29">
        <f t="shared" si="1"/>
        <v>1.9910000000000001E-5</v>
      </c>
      <c r="J29">
        <v>73200</v>
      </c>
      <c r="K29">
        <f t="shared" si="2"/>
        <v>1.04</v>
      </c>
      <c r="L29">
        <f t="shared" si="3"/>
        <v>0.38300000000000001</v>
      </c>
      <c r="M29" s="1">
        <v>1040</v>
      </c>
      <c r="N29" s="3">
        <v>383</v>
      </c>
      <c r="O29">
        <f t="shared" si="4"/>
        <v>0</v>
      </c>
    </row>
    <row r="30" spans="1:15" x14ac:dyDescent="0.2">
      <c r="A30" t="s">
        <v>33</v>
      </c>
      <c r="B30">
        <v>27</v>
      </c>
      <c r="C30">
        <v>431.18</v>
      </c>
      <c r="D30">
        <v>7.5700000000000003E-2</v>
      </c>
      <c r="E30">
        <v>800</v>
      </c>
      <c r="F30">
        <v>145</v>
      </c>
      <c r="G30">
        <v>119000</v>
      </c>
      <c r="H30">
        <v>19.91</v>
      </c>
      <c r="I30">
        <f t="shared" si="1"/>
        <v>1.9910000000000001E-5</v>
      </c>
      <c r="J30">
        <v>73200</v>
      </c>
      <c r="K30">
        <f t="shared" si="2"/>
        <v>1.06</v>
      </c>
      <c r="L30">
        <f t="shared" si="3"/>
        <v>0.39100000000000001</v>
      </c>
      <c r="M30" s="1">
        <v>1060</v>
      </c>
      <c r="N30" s="3">
        <v>391</v>
      </c>
      <c r="O30">
        <f t="shared" si="4"/>
        <v>0</v>
      </c>
    </row>
    <row r="31" spans="1:15" x14ac:dyDescent="0.2">
      <c r="A31" t="s">
        <v>34</v>
      </c>
      <c r="B31">
        <v>29.89</v>
      </c>
      <c r="C31">
        <v>529.84</v>
      </c>
      <c r="D31">
        <v>6.7299999999999999E-2</v>
      </c>
      <c r="E31">
        <v>870</v>
      </c>
      <c r="F31">
        <v>1980</v>
      </c>
      <c r="G31">
        <v>179000</v>
      </c>
      <c r="H31">
        <v>18.43</v>
      </c>
      <c r="I31">
        <f t="shared" si="1"/>
        <v>1.8429999999999998E-5</v>
      </c>
      <c r="J31">
        <v>83400</v>
      </c>
      <c r="K31">
        <f t="shared" si="2"/>
        <v>1.19</v>
      </c>
      <c r="L31">
        <f t="shared" si="3"/>
        <v>0.79200000000000004</v>
      </c>
      <c r="M31" s="1">
        <v>1190</v>
      </c>
      <c r="N31" s="3">
        <v>792</v>
      </c>
      <c r="O31">
        <f t="shared" si="4"/>
        <v>0</v>
      </c>
    </row>
    <row r="32" spans="1:15" x14ac:dyDescent="0.2">
      <c r="A32" t="s">
        <v>35</v>
      </c>
      <c r="B32">
        <v>28.62</v>
      </c>
      <c r="C32">
        <v>484.48</v>
      </c>
      <c r="D32">
        <v>6.7400000000000002E-2</v>
      </c>
      <c r="E32">
        <v>860</v>
      </c>
      <c r="F32">
        <v>1630</v>
      </c>
      <c r="G32">
        <v>133000</v>
      </c>
      <c r="H32">
        <v>19.91</v>
      </c>
      <c r="I32">
        <f t="shared" si="1"/>
        <v>1.9910000000000001E-5</v>
      </c>
      <c r="J32">
        <v>73200</v>
      </c>
      <c r="K32">
        <f t="shared" si="2"/>
        <v>1.19</v>
      </c>
      <c r="L32">
        <f t="shared" si="3"/>
        <v>0.44</v>
      </c>
      <c r="M32" s="1">
        <v>1190</v>
      </c>
      <c r="N32" s="3">
        <v>440</v>
      </c>
      <c r="O32">
        <f t="shared" si="4"/>
        <v>0</v>
      </c>
    </row>
    <row r="33" spans="1:15" x14ac:dyDescent="0.2">
      <c r="A33" t="s">
        <v>36</v>
      </c>
      <c r="B33">
        <v>31.5</v>
      </c>
      <c r="C33">
        <v>588.46</v>
      </c>
      <c r="D33">
        <v>6.0600000000000001E-2</v>
      </c>
      <c r="E33">
        <v>930</v>
      </c>
      <c r="F33">
        <v>2200</v>
      </c>
      <c r="G33">
        <v>199000</v>
      </c>
      <c r="H33">
        <v>18.43</v>
      </c>
      <c r="I33">
        <f t="shared" si="1"/>
        <v>1.8429999999999998E-5</v>
      </c>
      <c r="J33">
        <v>83400</v>
      </c>
      <c r="K33">
        <f t="shared" si="2"/>
        <v>1.32</v>
      </c>
      <c r="L33">
        <f t="shared" si="3"/>
        <v>8.7999999999999995E-2</v>
      </c>
      <c r="M33" s="1">
        <v>1320</v>
      </c>
      <c r="N33" s="3">
        <v>88</v>
      </c>
      <c r="O33">
        <f t="shared" si="4"/>
        <v>0</v>
      </c>
    </row>
    <row r="34" spans="1:15" x14ac:dyDescent="0.2">
      <c r="A34" t="s">
        <v>37</v>
      </c>
      <c r="B34">
        <v>30.15</v>
      </c>
      <c r="C34">
        <v>537.66</v>
      </c>
      <c r="D34">
        <v>6.0699999999999997E-2</v>
      </c>
      <c r="E34">
        <v>920</v>
      </c>
      <c r="F34">
        <v>1810</v>
      </c>
      <c r="G34">
        <v>147000</v>
      </c>
      <c r="H34">
        <v>19.91</v>
      </c>
      <c r="I34">
        <f t="shared" si="1"/>
        <v>1.9910000000000001E-5</v>
      </c>
      <c r="J34">
        <v>73200</v>
      </c>
      <c r="K34">
        <f t="shared" si="2"/>
        <v>1.32</v>
      </c>
      <c r="L34">
        <f t="shared" si="3"/>
        <v>0.48799999999999999</v>
      </c>
      <c r="M34" s="1">
        <v>1320</v>
      </c>
      <c r="N34" s="3">
        <v>488</v>
      </c>
      <c r="O34">
        <f t="shared" si="4"/>
        <v>0</v>
      </c>
    </row>
    <row r="35" spans="1:15" x14ac:dyDescent="0.2">
      <c r="A35" t="s">
        <v>38</v>
      </c>
      <c r="B35">
        <v>31.77</v>
      </c>
      <c r="C35">
        <v>596.99</v>
      </c>
      <c r="D35">
        <v>5.4699999999999999E-2</v>
      </c>
      <c r="E35">
        <v>980</v>
      </c>
      <c r="F35">
        <v>2000</v>
      </c>
      <c r="G35">
        <v>162000</v>
      </c>
      <c r="H35">
        <v>19.91</v>
      </c>
      <c r="I35">
        <f t="shared" si="1"/>
        <v>1.9910000000000001E-5</v>
      </c>
      <c r="J35">
        <v>73200</v>
      </c>
      <c r="K35">
        <f t="shared" si="2"/>
        <v>1.46</v>
      </c>
      <c r="L35">
        <f t="shared" si="3"/>
        <v>0.54200000000000004</v>
      </c>
      <c r="M35" s="1">
        <v>1460</v>
      </c>
      <c r="N35" s="3">
        <v>542</v>
      </c>
      <c r="O35">
        <f t="shared" si="4"/>
        <v>0</v>
      </c>
    </row>
    <row r="46" spans="1:15" x14ac:dyDescent="0.2">
      <c r="H46" s="3"/>
      <c r="I46" s="4"/>
      <c r="J46" s="3"/>
      <c r="K46" s="3"/>
      <c r="L46" s="3"/>
      <c r="M46" s="3"/>
    </row>
    <row r="47" spans="1:15" x14ac:dyDescent="0.2">
      <c r="H47" s="3"/>
      <c r="I47" s="5"/>
      <c r="J47" s="5"/>
      <c r="K47" s="5"/>
      <c r="L47" s="6"/>
      <c r="M47" s="6"/>
    </row>
    <row r="48" spans="1:15" x14ac:dyDescent="0.2">
      <c r="H48" s="3"/>
      <c r="I48" s="5"/>
      <c r="J48" s="5"/>
      <c r="K48" s="5"/>
      <c r="L48" s="6"/>
      <c r="M48" s="6"/>
    </row>
    <row r="49" spans="8:20" x14ac:dyDescent="0.2">
      <c r="H49" s="3"/>
      <c r="I49" s="5"/>
      <c r="J49" s="5"/>
      <c r="K49" s="5"/>
      <c r="L49" s="6"/>
      <c r="M49" s="6"/>
    </row>
    <row r="50" spans="8:20" x14ac:dyDescent="0.2">
      <c r="H50" s="3"/>
      <c r="I50" s="5"/>
      <c r="J50" s="5"/>
      <c r="K50" s="5"/>
      <c r="L50" s="6"/>
      <c r="M50" s="6"/>
    </row>
    <row r="51" spans="8:20" x14ac:dyDescent="0.2">
      <c r="H51" s="3"/>
      <c r="I51" s="5"/>
      <c r="J51" s="5"/>
      <c r="K51" s="5"/>
      <c r="L51" s="6"/>
      <c r="M51" s="6"/>
    </row>
    <row r="52" spans="8:20" x14ac:dyDescent="0.2">
      <c r="H52" s="3"/>
      <c r="I52" s="5"/>
      <c r="J52" s="5"/>
      <c r="K52" s="5"/>
      <c r="L52" s="6"/>
      <c r="M52" s="6"/>
      <c r="N52" s="1"/>
      <c r="O52" s="1"/>
      <c r="P52" s="1"/>
    </row>
    <row r="53" spans="8:20" x14ac:dyDescent="0.2">
      <c r="H53" s="3"/>
      <c r="I53" s="5"/>
      <c r="J53" s="5"/>
      <c r="K53" s="5"/>
      <c r="L53" s="6"/>
      <c r="M53" s="6"/>
      <c r="N53" s="3"/>
      <c r="O53" s="3"/>
      <c r="P53" s="3"/>
      <c r="Q53" s="3"/>
    </row>
    <row r="54" spans="8:20" x14ac:dyDescent="0.2">
      <c r="N54" s="3"/>
      <c r="O54" s="3"/>
      <c r="P54" s="3"/>
      <c r="Q54" s="3"/>
      <c r="R54" s="3"/>
      <c r="S54" s="3"/>
      <c r="T54" s="3"/>
    </row>
    <row r="55" spans="8:20" x14ac:dyDescent="0.2">
      <c r="H55" s="1"/>
      <c r="I55" s="1"/>
      <c r="J55" s="1"/>
      <c r="K55" s="1"/>
      <c r="L55" s="1"/>
      <c r="M55" s="1"/>
      <c r="N55" s="5"/>
      <c r="O55" s="5"/>
      <c r="P55" s="5"/>
      <c r="Q55" s="5"/>
      <c r="R55" s="5"/>
      <c r="S55" s="3"/>
      <c r="T55" s="3"/>
    </row>
    <row r="56" spans="8:20" x14ac:dyDescent="0.2">
      <c r="H56" s="3"/>
      <c r="I56" s="1"/>
      <c r="J56" s="1"/>
      <c r="N56" s="5"/>
      <c r="O56" s="5"/>
      <c r="P56" s="5"/>
      <c r="Q56" s="5"/>
      <c r="R56" s="5"/>
      <c r="S56" s="3"/>
      <c r="T56" s="3"/>
    </row>
    <row r="57" spans="8:20" x14ac:dyDescent="0.2">
      <c r="H57" s="3"/>
      <c r="N57" s="5"/>
      <c r="O57" s="5"/>
      <c r="P57" s="5"/>
      <c r="Q57" s="5"/>
      <c r="R57" s="5"/>
      <c r="S57" s="3"/>
      <c r="T57" s="3"/>
    </row>
    <row r="58" spans="8:20" x14ac:dyDescent="0.2">
      <c r="H58" s="3"/>
      <c r="N58" s="5"/>
      <c r="O58" s="5"/>
      <c r="P58" s="5"/>
      <c r="Q58" s="5"/>
      <c r="R58" s="5"/>
      <c r="S58" s="3"/>
      <c r="T58" s="3"/>
    </row>
    <row r="59" spans="8:20" x14ac:dyDescent="0.2">
      <c r="H59" s="3"/>
      <c r="N59" s="5"/>
      <c r="O59" s="5"/>
      <c r="P59" s="5"/>
      <c r="Q59" s="5"/>
      <c r="R59" s="5"/>
      <c r="S59" s="3"/>
      <c r="T59" s="3"/>
    </row>
    <row r="60" spans="8:20" x14ac:dyDescent="0.2">
      <c r="H60" s="3"/>
      <c r="N60" s="5"/>
      <c r="O60" s="5"/>
      <c r="P60" s="5"/>
      <c r="Q60" s="5"/>
      <c r="R60" s="5"/>
      <c r="S60" s="3"/>
      <c r="T60" s="3"/>
    </row>
    <row r="61" spans="8:20" x14ac:dyDescent="0.2">
      <c r="N61" s="5"/>
      <c r="O61" s="5"/>
      <c r="P61" s="5"/>
      <c r="Q61" s="5"/>
      <c r="R61" s="5"/>
      <c r="S61" s="3"/>
      <c r="T61" s="3"/>
    </row>
    <row r="62" spans="8:20" x14ac:dyDescent="0.2">
      <c r="I62" s="2"/>
      <c r="J62" s="2"/>
      <c r="K62" s="2"/>
      <c r="L62" s="2"/>
      <c r="M62" s="2"/>
      <c r="N62" s="2"/>
      <c r="O62" s="2"/>
      <c r="P62" s="2"/>
      <c r="Q62" s="2"/>
      <c r="R6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2026-02-14T06:22:30Z</dcterms:created>
  <dcterms:modified xsi:type="dcterms:W3CDTF">2026-02-26T08:14:51Z</dcterms:modified>
</cp:coreProperties>
</file>